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arga Normal" sheetId="1" state="visible" r:id="rId1"/>
    <sheet name="Harga Langgana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<sst xmlns="http://schemas.openxmlformats.org/spreadsheetml/2006/main" count="78" uniqueCount="78">
  <si>
    <t xml:space="preserve">Harga Orderan</t>
  </si>
  <si>
    <t xml:space="preserve">CETAK BLACK &amp; WHITE (BW)</t>
  </si>
  <si>
    <t xml:space="preserve">CETAK FULL COLOR (FC)</t>
  </si>
  <si>
    <t>Ukuran</t>
  </si>
  <si>
    <t xml:space="preserve">Jenis kertas &amp; Ketebalan</t>
  </si>
  <si>
    <t>Harga</t>
  </si>
  <si>
    <t>Contoh</t>
  </si>
  <si>
    <t>A6</t>
  </si>
  <si>
    <t xml:space="preserve">BP 57/72 - Hvs 70/80</t>
  </si>
  <si>
    <t xml:space="preserve">80 x 300 hal</t>
  </si>
  <si>
    <t xml:space="preserve">A5/ Unesco</t>
  </si>
  <si>
    <t xml:space="preserve">BP 57 - Hvs 70</t>
  </si>
  <si>
    <t xml:space="preserve">BP 57 - BP 72</t>
  </si>
  <si>
    <t xml:space="preserve">24.000 x 1.000</t>
  </si>
  <si>
    <t xml:space="preserve">BP 72 - Hvs 80</t>
  </si>
  <si>
    <t xml:space="preserve">Hvs 70 - Hvs 80</t>
  </si>
  <si>
    <t xml:space="preserve">B5/ A4</t>
  </si>
  <si>
    <t xml:space="preserve">1.000 pcs x (7.000 per pcs x 80%)</t>
  </si>
  <si>
    <t xml:space="preserve">1.000 pcs x 1.400</t>
  </si>
  <si>
    <t xml:space="preserve">Rumus Modal jika cetak dengan 300 hal dengan 1.000 pcs</t>
  </si>
  <si>
    <t xml:space="preserve">150.000 lembar</t>
  </si>
  <si>
    <t xml:space="preserve">FINISHING SOFT COVER (Cover + Laminasi + Binding + Shrink)</t>
  </si>
  <si>
    <t xml:space="preserve">FINISHING HARD COVER (Cover + Laminasi + Binding + Shrink + Pita)</t>
  </si>
  <si>
    <t xml:space="preserve">Modal bahan </t>
  </si>
  <si>
    <t>Halaman</t>
  </si>
  <si>
    <t xml:space="preserve">Ukuran Potrait</t>
  </si>
  <si>
    <t xml:space="preserve">jika per kg bisa menempuh 18.000 lembar</t>
  </si>
  <si>
    <t xml:space="preserve">1 - 150</t>
  </si>
  <si>
    <t>A5</t>
  </si>
  <si>
    <t xml:space="preserve">1 - 500</t>
  </si>
  <si>
    <t xml:space="preserve">150.000 : 18.000</t>
  </si>
  <si>
    <t xml:space="preserve">buruh 8,5 kg tinta</t>
  </si>
  <si>
    <t xml:space="preserve">151 - 200</t>
  </si>
  <si>
    <t xml:space="preserve">jika per plano ada 18 rim maka dalam plano ada 9.000 lembar</t>
  </si>
  <si>
    <t xml:space="preserve">201 - 400</t>
  </si>
  <si>
    <t xml:space="preserve">9 x 17 plano = 153.000 lembar atau 306 rim</t>
  </si>
  <si>
    <t xml:space="preserve">401 - 500</t>
  </si>
  <si>
    <t xml:space="preserve">maka total pengeluaran</t>
  </si>
  <si>
    <t xml:space="preserve">501 - 600 </t>
  </si>
  <si>
    <t xml:space="preserve">tinta 9 kg x 165.000 (harga tinta per kg) = 1.485.000</t>
  </si>
  <si>
    <t xml:space="preserve">601 - 700</t>
  </si>
  <si>
    <t>PACKING</t>
  </si>
  <si>
    <t xml:space="preserve">17 plano x 765.000 (harga kertas per plano) = 13.005.000</t>
  </si>
  <si>
    <t xml:space="preserve">701 - up</t>
  </si>
  <si>
    <t xml:space="preserve">Dus Kecil</t>
  </si>
  <si>
    <t xml:space="preserve">total biaya bahan diluar plat cover, cetak cover, listirk, lem, penyusutan mesin + karyawan = 14.490.000</t>
  </si>
  <si>
    <t>B5/A4</t>
  </si>
  <si>
    <t xml:space="preserve">Jumlah Cetak</t>
  </si>
  <si>
    <t xml:space="preserve">Harga Finishing</t>
  </si>
  <si>
    <t>Keterangan</t>
  </si>
  <si>
    <t xml:space="preserve">diskon 10%</t>
  </si>
  <si>
    <t xml:space="preserve">Cover cetak Offset + minimal 200 hal</t>
  </si>
  <si>
    <t xml:space="preserve">diskon 25%</t>
  </si>
  <si>
    <t>1000-2500</t>
  </si>
  <si>
    <t xml:space="preserve">diskon 50%</t>
  </si>
  <si>
    <t xml:space="preserve">Harga Laminasi</t>
  </si>
  <si>
    <t>A3</t>
  </si>
  <si>
    <t>Potong</t>
  </si>
  <si>
    <t xml:space="preserve">Per rim</t>
  </si>
  <si>
    <t xml:space="preserve">Binding + Potong</t>
  </si>
  <si>
    <t xml:space="preserve">A5 HVS/CD/BP</t>
  </si>
  <si>
    <t xml:space="preserve">A4 HVS/CD/BP</t>
  </si>
  <si>
    <t>50-100</t>
  </si>
  <si>
    <t>101-150</t>
  </si>
  <si>
    <t>151-200</t>
  </si>
  <si>
    <t>201-250</t>
  </si>
  <si>
    <t>256-300</t>
  </si>
  <si>
    <t>300-400</t>
  </si>
  <si>
    <t>401-450</t>
  </si>
  <si>
    <t>451-500</t>
  </si>
  <si>
    <t>501-550</t>
  </si>
  <si>
    <t>551-600</t>
  </si>
  <si>
    <t>601-650</t>
  </si>
  <si>
    <t>651-700</t>
  </si>
  <si>
    <t>701-750</t>
  </si>
  <si>
    <t>A5/Unesco</t>
  </si>
  <si>
    <t>A4/B5</t>
  </si>
  <si>
    <t xml:space="preserve">diskon 75%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</si>
</sst>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-* #,##0_-;\-* #,##0_-;_-* &quot;-&quot;_-;_-@_-"/>
    <numFmt numFmtId="165" formatCode="_-&quot;Rp&quot;* #,##0_-;\-&quot;Rp&quot;* #,##0_-;_-&quot;Rp&quot;* &quot;-&quot;_-;_-@_-"/>
  </numFmts>
  <fonts count="5">
    <font>
      <sz val="11.000000"/>
      <color theme="1"/>
      <name val="Calibri"/>
      <scheme val="minor"/>
    </font>
    <font>
      <b/>
      <sz val="28.000000"/>
      <color theme="1"/>
      <name val="Agior"/>
    </font>
    <font>
      <b/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0.000000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rgb="FF92D050"/>
      </patternFill>
    </fill>
    <fill>
      <patternFill patternType="solid">
        <fgColor indexed="5"/>
      </patternFill>
    </fill>
    <fill>
      <patternFill patternType="solid">
        <fgColor theme="7"/>
      </patternFill>
    </fill>
  </fills>
  <borders count="6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0" fillId="0" borderId="0" numFmtId="164" applyNumberFormat="1" applyFont="0" applyFill="0" applyBorder="0" applyProtection="0"/>
  </cellStyleXfs>
  <cellXfs count="34">
    <xf fontId="0" fillId="0" borderId="0" numFmtId="0" xfId="0"/>
    <xf fontId="1" fillId="2" borderId="0" numFmtId="0" xfId="0" applyFont="1" applyFill="1" applyAlignment="1">
      <alignment horizontal="center" vertical="center"/>
    </xf>
    <xf fontId="2" fillId="3" borderId="1" numFmtId="0" xfId="0" applyFont="1" applyFill="1" applyBorder="1" applyAlignment="1">
      <alignment horizontal="left" vertical="center"/>
    </xf>
    <xf fontId="2" fillId="3" borderId="2" numFmtId="0" xfId="0" applyFont="1" applyFill="1" applyBorder="1" applyAlignment="1">
      <alignment horizontal="left" vertical="center"/>
    </xf>
    <xf fontId="2" fillId="3" borderId="3" numFmtId="0" xfId="0" applyFont="1" applyFill="1" applyBorder="1" applyAlignment="1">
      <alignment horizontal="left" vertical="center"/>
    </xf>
    <xf fontId="2" fillId="4" borderId="4" numFmtId="0" xfId="0" applyFont="1" applyFill="1" applyBorder="1"/>
    <xf fontId="3" fillId="4" borderId="0" numFmtId="0" xfId="0" applyFont="1" applyFill="1" applyAlignment="1">
      <alignment horizontal="center"/>
    </xf>
    <xf fontId="2" fillId="0" borderId="4" numFmtId="0" xfId="0" applyFont="1" applyBorder="1"/>
    <xf fontId="0" fillId="0" borderId="4" numFmtId="0" xfId="0" applyBorder="1"/>
    <xf fontId="0" fillId="0" borderId="4" numFmtId="165" xfId="0" applyNumberFormat="1" applyBorder="1"/>
    <xf fontId="0" fillId="0" borderId="0" numFmtId="3" xfId="0" applyNumberFormat="1"/>
    <xf fontId="0" fillId="0" borderId="0" numFmtId="0" xfId="0" applyAlignment="1">
      <alignment horizontal="right"/>
    </xf>
    <xf fontId="2" fillId="0" borderId="0" numFmtId="164" xfId="1" applyNumberFormat="1" applyFont="1"/>
    <xf fontId="0" fillId="0" borderId="0" numFmtId="0" xfId="0" applyAlignment="1">
      <alignment horizontal="right" vertical="center"/>
    </xf>
    <xf fontId="0" fillId="0" borderId="0" numFmtId="0" xfId="0" applyAlignment="1">
      <alignment horizontal="center" vertical="center"/>
    </xf>
    <xf fontId="2" fillId="0" borderId="0" numFmtId="0" xfId="0" applyFont="1"/>
    <xf fontId="2" fillId="3" borderId="4" numFmtId="0" xfId="0" applyFont="1" applyFill="1" applyBorder="1" applyAlignment="1">
      <alignment horizontal="left" vertical="center"/>
    </xf>
    <xf fontId="4" fillId="3" borderId="1" numFmtId="0" xfId="0" applyFont="1" applyFill="1" applyBorder="1" applyAlignment="1">
      <alignment horizontal="center" vertical="center"/>
    </xf>
    <xf fontId="4" fillId="3" borderId="2" numFmtId="0" xfId="0" applyFont="1" applyFill="1" applyBorder="1" applyAlignment="1">
      <alignment horizontal="center" vertical="center"/>
    </xf>
    <xf fontId="4" fillId="3" borderId="3" numFmtId="0" xfId="0" applyFont="1" applyFill="1" applyBorder="1" applyAlignment="1">
      <alignment horizontal="center" vertical="center"/>
    </xf>
    <xf fontId="2" fillId="0" borderId="5" numFmtId="0" xfId="0" applyFont="1" applyBorder="1"/>
    <xf fontId="0" fillId="5" borderId="1" numFmtId="0" xfId="0" applyFill="1" applyBorder="1" applyAlignment="1">
      <alignment horizontal="center"/>
    </xf>
    <xf fontId="0" fillId="5" borderId="2" numFmtId="0" xfId="0" applyFill="1" applyBorder="1" applyAlignment="1">
      <alignment horizontal="center"/>
    </xf>
    <xf fontId="0" fillId="5" borderId="3" numFmtId="0" xfId="0" applyFill="1" applyBorder="1" applyAlignment="1">
      <alignment horizontal="center"/>
    </xf>
    <xf fontId="3" fillId="3" borderId="4" numFmtId="0" xfId="0" applyFont="1" applyFill="1" applyBorder="1"/>
    <xf fontId="3" fillId="3" borderId="4" numFmtId="0" xfId="0" applyFont="1" applyFill="1" applyBorder="1" applyAlignment="1">
      <alignment horizont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center" vertical="center"/>
    </xf>
    <xf fontId="0" fillId="0" borderId="4" numFmtId="0" xfId="0" applyBorder="1" applyAlignment="1">
      <alignment horizontal="right"/>
    </xf>
    <xf fontId="0" fillId="0" borderId="4" numFmtId="165" xfId="1" applyNumberFormat="1" applyBorder="1"/>
    <xf fontId="2" fillId="0" borderId="4" numFmtId="0" xfId="0" applyFont="1" applyBorder="1" applyAlignment="1">
      <alignment horizontal="center" vertical="center"/>
    </xf>
    <xf fontId="0" fillId="0" borderId="4" numFmtId="165" xfId="0" applyNumberFormat="1" applyBorder="1" applyAlignment="1">
      <alignment horizontal="center" vertical="center"/>
    </xf>
    <xf fontId="0" fillId="0" borderId="4" numFmtId="165" xfId="1" applyNumberFormat="1" applyBorder="1" applyAlignment="1">
      <alignment horizontal="center" vertical="center"/>
    </xf>
    <xf fontId="0" fillId="0" borderId="4" numFmtId="3" xfId="0" applyNumberFormat="1" applyBorder="1" applyAlignment="1">
      <alignment horizontal="right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E18" zoomScale="115" workbookViewId="0">
      <selection activeCell="B1" activeCellId="0" sqref="1:1048576"/>
    </sheetView>
  </sheetViews>
  <sheetFormatPr defaultRowHeight="15"/>
  <cols>
    <col customWidth="1" min="2" max="2" width="18.85546875"/>
    <col customWidth="1" min="3" max="3" width="22.85546875"/>
    <col customWidth="1" min="4" max="4" width="22.7109375"/>
    <col customWidth="1" min="5" max="5" width="18"/>
    <col customWidth="1" min="6" max="6" width="18.28515625"/>
    <col customWidth="1" min="7" max="7" width="22.5703125"/>
    <col customWidth="1" min="8" max="8" width="18"/>
    <col customWidth="1" min="9" max="10" width="10.5703125"/>
    <col customWidth="1" min="11" max="11" width="17.42578125"/>
    <col customWidth="1" min="12" max="12" width="17.140625"/>
    <col customWidth="1" min="13" max="13" width="16.140625"/>
  </cols>
  <sheetData>
    <row r="2" ht="1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>
      <c r="B7" s="2" t="s">
        <v>1</v>
      </c>
      <c r="C7" s="3"/>
      <c r="D7" s="4"/>
      <c r="F7" s="2" t="s">
        <v>2</v>
      </c>
      <c r="G7" s="3"/>
      <c r="H7" s="4"/>
    </row>
    <row r="8" ht="15.75">
      <c r="B8" s="5" t="s">
        <v>3</v>
      </c>
      <c r="C8" s="5" t="s">
        <v>4</v>
      </c>
      <c r="D8" s="5" t="s">
        <v>5</v>
      </c>
      <c r="F8" s="5" t="s">
        <v>3</v>
      </c>
      <c r="G8" s="5" t="s">
        <v>4</v>
      </c>
      <c r="H8" s="5" t="s">
        <v>5</v>
      </c>
      <c r="K8" s="6" t="s">
        <v>6</v>
      </c>
      <c r="L8" s="6"/>
      <c r="M8" s="6"/>
    </row>
    <row r="9">
      <c r="B9" s="7" t="s">
        <v>7</v>
      </c>
      <c r="C9" s="8" t="s">
        <v>8</v>
      </c>
      <c r="D9" s="9">
        <v>40</v>
      </c>
      <c r="F9" s="7" t="s">
        <v>7</v>
      </c>
      <c r="G9" s="8" t="s">
        <v>8</v>
      </c>
      <c r="H9" s="9">
        <v>187.5</v>
      </c>
      <c r="K9" t="s">
        <v>9</v>
      </c>
      <c r="L9" s="10">
        <f>24000</f>
        <v>24000</v>
      </c>
    </row>
    <row r="10">
      <c r="B10" s="7" t="s">
        <v>10</v>
      </c>
      <c r="C10" s="8" t="s">
        <v>11</v>
      </c>
      <c r="D10" s="9">
        <v>75</v>
      </c>
      <c r="F10" s="7" t="s">
        <v>10</v>
      </c>
      <c r="G10" s="8" t="s">
        <v>12</v>
      </c>
      <c r="H10" s="9">
        <v>375</v>
      </c>
      <c r="L10" s="11" t="s">
        <v>13</v>
      </c>
      <c r="M10" s="12">
        <v>24000000</v>
      </c>
    </row>
    <row r="11">
      <c r="B11" s="7" t="s">
        <v>10</v>
      </c>
      <c r="C11" s="8" t="s">
        <v>14</v>
      </c>
      <c r="D11" s="9">
        <v>80</v>
      </c>
      <c r="F11" s="7" t="s">
        <v>10</v>
      </c>
      <c r="G11" s="8" t="s">
        <v>15</v>
      </c>
      <c r="H11" s="9">
        <v>312.5</v>
      </c>
    </row>
    <row r="12">
      <c r="B12" s="7" t="s">
        <v>16</v>
      </c>
      <c r="C12" s="8" t="s">
        <v>11</v>
      </c>
      <c r="D12" s="9">
        <v>150</v>
      </c>
      <c r="F12" s="7" t="s">
        <v>16</v>
      </c>
      <c r="G12" s="8" t="s">
        <v>12</v>
      </c>
      <c r="H12" s="9">
        <v>750</v>
      </c>
      <c r="K12" s="13" t="s">
        <v>17</v>
      </c>
      <c r="L12" s="13"/>
    </row>
    <row r="13">
      <c r="B13" s="7" t="s">
        <v>16</v>
      </c>
      <c r="C13" s="8" t="s">
        <v>14</v>
      </c>
      <c r="D13" s="9">
        <v>160</v>
      </c>
      <c r="F13" s="7" t="s">
        <v>16</v>
      </c>
      <c r="G13" s="8" t="s">
        <v>15</v>
      </c>
      <c r="H13" s="9">
        <v>625</v>
      </c>
      <c r="K13" s="13" t="s">
        <v>18</v>
      </c>
      <c r="L13" s="13"/>
      <c r="M13" s="12">
        <v>1400000</v>
      </c>
    </row>
    <row r="14">
      <c r="K14" s="14"/>
      <c r="L14" s="14"/>
    </row>
    <row r="16">
      <c r="K16" t="s">
        <v>19</v>
      </c>
    </row>
    <row r="17">
      <c r="K17" s="15" t="s">
        <v>20</v>
      </c>
    </row>
    <row r="18">
      <c r="B18" s="16" t="s">
        <v>21</v>
      </c>
      <c r="C18" s="16"/>
      <c r="D18" s="16"/>
      <c r="E18" s="15"/>
      <c r="F18" s="17" t="s">
        <v>22</v>
      </c>
      <c r="G18" s="18"/>
      <c r="H18" s="19"/>
      <c r="K18" s="15" t="s">
        <v>23</v>
      </c>
    </row>
    <row r="19">
      <c r="B19" s="7" t="s">
        <v>3</v>
      </c>
      <c r="C19" s="7" t="s">
        <v>24</v>
      </c>
      <c r="D19" s="7" t="s">
        <v>5</v>
      </c>
      <c r="F19" s="7" t="s">
        <v>25</v>
      </c>
      <c r="G19" s="7" t="s">
        <v>24</v>
      </c>
      <c r="H19" s="20" t="s">
        <v>5</v>
      </c>
      <c r="K19" s="15" t="s">
        <v>26</v>
      </c>
    </row>
    <row r="20">
      <c r="B20" s="7" t="s">
        <v>10</v>
      </c>
      <c r="C20" s="8" t="s">
        <v>27</v>
      </c>
      <c r="D20" s="9">
        <v>6000</v>
      </c>
      <c r="F20" s="7" t="s">
        <v>28</v>
      </c>
      <c r="G20" s="8" t="s">
        <v>29</v>
      </c>
      <c r="H20" s="9">
        <v>15000</v>
      </c>
      <c r="K20" t="s">
        <v>30</v>
      </c>
      <c r="L20" t="s">
        <v>31</v>
      </c>
    </row>
    <row r="21">
      <c r="B21" s="7" t="s">
        <v>10</v>
      </c>
      <c r="C21" s="8" t="s">
        <v>32</v>
      </c>
      <c r="D21" s="9">
        <v>6500</v>
      </c>
      <c r="F21" s="7"/>
      <c r="G21" s="8"/>
      <c r="H21" s="9"/>
      <c r="K21" s="15" t="s">
        <v>33</v>
      </c>
    </row>
    <row r="22">
      <c r="B22" s="7" t="s">
        <v>10</v>
      </c>
      <c r="C22" s="8" t="s">
        <v>34</v>
      </c>
      <c r="D22" s="9">
        <v>7000</v>
      </c>
      <c r="F22" s="7"/>
      <c r="G22" s="8"/>
      <c r="H22" s="9"/>
      <c r="K22" t="s">
        <v>35</v>
      </c>
    </row>
    <row r="23">
      <c r="B23" s="7" t="s">
        <v>10</v>
      </c>
      <c r="C23" s="8" t="s">
        <v>36</v>
      </c>
      <c r="D23" s="9">
        <v>7500</v>
      </c>
      <c r="K23" s="15" t="s">
        <v>37</v>
      </c>
    </row>
    <row r="24">
      <c r="B24" s="7" t="s">
        <v>10</v>
      </c>
      <c r="C24" s="8" t="s">
        <v>38</v>
      </c>
      <c r="D24" s="9">
        <v>8000</v>
      </c>
      <c r="K24" s="15" t="s">
        <v>39</v>
      </c>
    </row>
    <row r="25">
      <c r="B25" s="7" t="s">
        <v>10</v>
      </c>
      <c r="C25" s="8" t="s">
        <v>40</v>
      </c>
      <c r="D25" s="9">
        <v>8500</v>
      </c>
      <c r="F25" s="16" t="s">
        <v>41</v>
      </c>
      <c r="G25" s="16"/>
      <c r="K25" s="15" t="s">
        <v>42</v>
      </c>
    </row>
    <row r="26">
      <c r="B26" s="7" t="s">
        <v>10</v>
      </c>
      <c r="C26" s="8" t="s">
        <v>43</v>
      </c>
      <c r="D26" s="9">
        <v>9000</v>
      </c>
      <c r="F26" s="8" t="s">
        <v>44</v>
      </c>
      <c r="G26" s="9">
        <v>5000</v>
      </c>
      <c r="K26" s="15" t="s">
        <v>45</v>
      </c>
    </row>
    <row r="27">
      <c r="B27" s="21"/>
      <c r="C27" s="22"/>
      <c r="D27" s="23"/>
      <c r="F27" s="8" t="s">
        <v>44</v>
      </c>
      <c r="G27" s="9">
        <v>10000</v>
      </c>
    </row>
    <row r="28">
      <c r="B28" s="7" t="s">
        <v>46</v>
      </c>
      <c r="C28" s="8" t="s">
        <v>27</v>
      </c>
      <c r="D28" s="9">
        <v>9000</v>
      </c>
    </row>
    <row r="29">
      <c r="B29" s="7" t="s">
        <v>46</v>
      </c>
      <c r="C29" s="8" t="s">
        <v>32</v>
      </c>
      <c r="D29" s="9">
        <v>9750</v>
      </c>
    </row>
    <row r="30" ht="15.75">
      <c r="B30" s="7" t="s">
        <v>46</v>
      </c>
      <c r="C30" s="8" t="s">
        <v>34</v>
      </c>
      <c r="D30" s="9">
        <v>10500</v>
      </c>
      <c r="F30" s="24" t="s">
        <v>47</v>
      </c>
      <c r="G30" s="24" t="s">
        <v>48</v>
      </c>
      <c r="H30" s="25" t="s">
        <v>49</v>
      </c>
      <c r="I30" s="25"/>
      <c r="J30" s="25"/>
    </row>
    <row r="31">
      <c r="B31" s="7" t="s">
        <v>46</v>
      </c>
      <c r="C31" s="8" t="s">
        <v>36</v>
      </c>
      <c r="D31" s="9">
        <v>11250</v>
      </c>
      <c r="F31" s="8">
        <v>300</v>
      </c>
      <c r="G31" s="26" t="s">
        <v>50</v>
      </c>
      <c r="H31" s="27" t="s">
        <v>51</v>
      </c>
      <c r="I31" s="27"/>
      <c r="J31" s="27"/>
    </row>
    <row r="32">
      <c r="B32" s="7" t="s">
        <v>46</v>
      </c>
      <c r="C32" s="8" t="s">
        <v>38</v>
      </c>
      <c r="D32" s="9">
        <v>12000</v>
      </c>
      <c r="F32" s="8">
        <v>500</v>
      </c>
      <c r="G32" s="26" t="s">
        <v>52</v>
      </c>
      <c r="H32" s="27" t="s">
        <v>51</v>
      </c>
      <c r="I32" s="27"/>
      <c r="J32" s="27"/>
    </row>
    <row r="33">
      <c r="B33" s="7" t="s">
        <v>46</v>
      </c>
      <c r="C33" s="8" t="s">
        <v>40</v>
      </c>
      <c r="D33" s="9">
        <v>12750</v>
      </c>
      <c r="F33" s="28" t="s">
        <v>53</v>
      </c>
      <c r="G33" s="26" t="s">
        <v>54</v>
      </c>
      <c r="H33" s="27" t="s">
        <v>51</v>
      </c>
      <c r="I33" s="27"/>
      <c r="J33" s="27"/>
    </row>
    <row r="34">
      <c r="B34" s="7" t="s">
        <v>46</v>
      </c>
      <c r="C34" s="8" t="s">
        <v>43</v>
      </c>
      <c r="D34" s="9">
        <v>13500</v>
      </c>
    </row>
    <row r="37">
      <c r="B37" s="15" t="s">
        <v>55</v>
      </c>
    </row>
    <row r="38">
      <c r="B38" s="8" t="s">
        <v>56</v>
      </c>
      <c r="C38" s="29">
        <v>1500</v>
      </c>
    </row>
    <row r="40">
      <c r="B40" s="15" t="s">
        <v>57</v>
      </c>
    </row>
    <row r="41">
      <c r="B41" s="8" t="s">
        <v>58</v>
      </c>
      <c r="C41" s="29">
        <v>5000</v>
      </c>
    </row>
    <row r="43">
      <c r="B43" s="15" t="s">
        <v>59</v>
      </c>
    </row>
    <row r="44">
      <c r="B44" s="30" t="s">
        <v>24</v>
      </c>
      <c r="C44" s="30" t="s">
        <v>60</v>
      </c>
      <c r="D44" s="30" t="s">
        <v>61</v>
      </c>
    </row>
    <row r="45">
      <c r="B45" s="27" t="s">
        <v>62</v>
      </c>
      <c r="C45" s="31">
        <v>500</v>
      </c>
      <c r="D45" s="32">
        <v>600</v>
      </c>
    </row>
    <row r="46">
      <c r="B46" s="27" t="s">
        <v>63</v>
      </c>
      <c r="C46" s="31">
        <v>550</v>
      </c>
      <c r="D46" s="32">
        <v>650</v>
      </c>
    </row>
    <row r="47">
      <c r="B47" s="27" t="s">
        <v>64</v>
      </c>
      <c r="C47" s="31">
        <v>600</v>
      </c>
      <c r="D47" s="32">
        <v>700</v>
      </c>
    </row>
    <row r="48">
      <c r="B48" s="27" t="s">
        <v>65</v>
      </c>
      <c r="C48" s="31">
        <v>650</v>
      </c>
      <c r="D48" s="32">
        <v>750</v>
      </c>
    </row>
    <row r="49">
      <c r="B49" s="27" t="s">
        <v>66</v>
      </c>
      <c r="C49" s="31">
        <v>700</v>
      </c>
      <c r="D49" s="32">
        <v>800</v>
      </c>
    </row>
    <row r="50">
      <c r="B50" s="27" t="s">
        <v>67</v>
      </c>
      <c r="C50" s="31">
        <v>750</v>
      </c>
      <c r="D50" s="32">
        <v>850</v>
      </c>
    </row>
    <row r="51">
      <c r="B51" s="27" t="s">
        <v>68</v>
      </c>
      <c r="C51" s="31">
        <v>800</v>
      </c>
      <c r="D51" s="32">
        <v>950</v>
      </c>
    </row>
    <row r="52">
      <c r="B52" s="27" t="s">
        <v>69</v>
      </c>
      <c r="C52" s="31">
        <v>850</v>
      </c>
      <c r="D52" s="32">
        <v>1150</v>
      </c>
    </row>
    <row r="53">
      <c r="B53" s="27" t="s">
        <v>70</v>
      </c>
      <c r="C53" s="31">
        <v>900</v>
      </c>
      <c r="D53" s="32">
        <v>1250</v>
      </c>
    </row>
    <row r="54">
      <c r="B54" s="27" t="s">
        <v>71</v>
      </c>
      <c r="C54" s="31">
        <v>950</v>
      </c>
      <c r="D54" s="32">
        <v>1350</v>
      </c>
    </row>
    <row r="55">
      <c r="B55" s="27" t="s">
        <v>72</v>
      </c>
      <c r="C55" s="31">
        <v>1000</v>
      </c>
      <c r="D55" s="32">
        <v>1550</v>
      </c>
    </row>
    <row r="56">
      <c r="B56" s="27" t="s">
        <v>73</v>
      </c>
      <c r="C56" s="31">
        <v>1050</v>
      </c>
      <c r="D56" s="32">
        <v>1750</v>
      </c>
    </row>
    <row r="57">
      <c r="B57" s="27" t="s">
        <v>74</v>
      </c>
      <c r="C57" s="31">
        <v>1100</v>
      </c>
      <c r="D57" s="32">
        <v>1950</v>
      </c>
    </row>
  </sheetData>
  <mergeCells count="15">
    <mergeCell ref="H32:J32"/>
    <mergeCell ref="H33:J33"/>
    <mergeCell ref="F18:H18"/>
    <mergeCell ref="F25:G25"/>
    <mergeCell ref="K12:L12"/>
    <mergeCell ref="K13:L13"/>
    <mergeCell ref="K14:L14"/>
    <mergeCell ref="B27:D27"/>
    <mergeCell ref="B18:D18"/>
    <mergeCell ref="B2:M4"/>
    <mergeCell ref="H30:J30"/>
    <mergeCell ref="H31:J31"/>
    <mergeCell ref="F7:H7"/>
    <mergeCell ref="B7:D7"/>
    <mergeCell ref="K8:M8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C17" zoomScale="205" workbookViewId="0">
      <selection activeCell="G30" activeCellId="0" sqref="G30"/>
    </sheetView>
  </sheetViews>
  <sheetFormatPr defaultRowHeight="14.25"/>
  <cols>
    <col customWidth="1" min="2" max="2" width="18.85546875"/>
    <col customWidth="1" min="3" max="3" width="22.85546875"/>
    <col customWidth="1" min="4" max="4" width="22.7109375"/>
    <col customWidth="1" min="5" max="5" width="18"/>
    <col customWidth="1" min="6" max="6" width="18.28515625"/>
    <col customWidth="1" min="7" max="7" width="22.5703125"/>
    <col customWidth="1" min="8" max="8" width="18"/>
    <col customWidth="1" min="9" max="10" width="10.5703125"/>
    <col customWidth="1" min="11" max="11" width="17.42578125"/>
    <col customWidth="1" min="12" max="12" width="17.140625"/>
    <col customWidth="1" min="13" max="13" width="16.140625"/>
  </cols>
  <sheetData>
    <row r="2" ht="15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5" customHeight="1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7">
      <c r="B7" s="2" t="s">
        <v>1</v>
      </c>
      <c r="C7" s="3"/>
      <c r="D7" s="4"/>
      <c r="F7" s="2" t="s">
        <v>2</v>
      </c>
      <c r="G7" s="3"/>
      <c r="H7" s="4"/>
    </row>
    <row r="8" ht="16.5">
      <c r="B8" s="5" t="s">
        <v>3</v>
      </c>
      <c r="C8" s="5" t="s">
        <v>4</v>
      </c>
      <c r="D8" s="5" t="s">
        <v>5</v>
      </c>
      <c r="F8" s="5" t="s">
        <v>3</v>
      </c>
      <c r="G8" s="5" t="s">
        <v>4</v>
      </c>
      <c r="H8" s="5" t="s">
        <v>5</v>
      </c>
      <c r="K8" s="6"/>
      <c r="L8" s="6"/>
      <c r="M8" s="6"/>
    </row>
    <row r="9">
      <c r="B9" s="7" t="s">
        <v>7</v>
      </c>
      <c r="C9" s="8" t="s">
        <v>8</v>
      </c>
      <c r="D9" s="9">
        <v>35</v>
      </c>
      <c r="F9" s="7" t="s">
        <v>7</v>
      </c>
      <c r="G9" s="8" t="s">
        <v>8</v>
      </c>
      <c r="H9" s="9">
        <v>175</v>
      </c>
      <c r="L9" s="10"/>
    </row>
    <row r="10">
      <c r="B10" s="7" t="s">
        <v>10</v>
      </c>
      <c r="C10" s="8" t="s">
        <v>11</v>
      </c>
      <c r="D10" s="9">
        <v>70</v>
      </c>
      <c r="F10" s="7" t="s">
        <v>10</v>
      </c>
      <c r="G10" s="8" t="s">
        <v>12</v>
      </c>
      <c r="H10" s="9">
        <v>350</v>
      </c>
      <c r="L10" s="11"/>
      <c r="M10" s="12"/>
    </row>
    <row r="11">
      <c r="B11" s="7" t="s">
        <v>10</v>
      </c>
      <c r="C11" s="8" t="s">
        <v>14</v>
      </c>
      <c r="D11" s="9">
        <v>75</v>
      </c>
      <c r="F11" s="7" t="s">
        <v>10</v>
      </c>
      <c r="G11" s="8" t="s">
        <v>15</v>
      </c>
      <c r="H11" s="9">
        <v>300</v>
      </c>
    </row>
    <row r="12">
      <c r="B12" s="7" t="s">
        <v>16</v>
      </c>
      <c r="C12" s="8" t="s">
        <v>11</v>
      </c>
      <c r="D12" s="9">
        <v>135</v>
      </c>
      <c r="F12" s="7" t="s">
        <v>16</v>
      </c>
      <c r="G12" s="8" t="s">
        <v>12</v>
      </c>
      <c r="H12" s="9">
        <v>700</v>
      </c>
      <c r="K12" s="13"/>
      <c r="L12" s="13"/>
    </row>
    <row r="13">
      <c r="B13" s="7" t="s">
        <v>16</v>
      </c>
      <c r="C13" s="8" t="s">
        <v>14</v>
      </c>
      <c r="D13" s="9">
        <v>145</v>
      </c>
      <c r="F13" s="7" t="s">
        <v>16</v>
      </c>
      <c r="G13" s="8" t="s">
        <v>15</v>
      </c>
      <c r="H13" s="9">
        <v>625</v>
      </c>
      <c r="K13" s="13"/>
      <c r="L13" s="13"/>
      <c r="M13" s="12"/>
    </row>
    <row r="14">
      <c r="K14" s="14"/>
      <c r="L14" s="14"/>
    </row>
    <row r="17">
      <c r="K17" s="15"/>
    </row>
    <row r="18">
      <c r="B18" s="16" t="s">
        <v>21</v>
      </c>
      <c r="C18" s="16"/>
      <c r="D18" s="16"/>
      <c r="E18" s="15"/>
      <c r="F18" s="17" t="s">
        <v>22</v>
      </c>
      <c r="G18" s="18"/>
      <c r="H18" s="19"/>
      <c r="K18" s="15"/>
    </row>
    <row r="19">
      <c r="B19" s="7" t="s">
        <v>3</v>
      </c>
      <c r="C19" s="7" t="s">
        <v>24</v>
      </c>
      <c r="D19" s="7" t="s">
        <v>5</v>
      </c>
      <c r="F19" s="7" t="s">
        <v>25</v>
      </c>
      <c r="G19" s="7" t="s">
        <v>24</v>
      </c>
      <c r="H19" s="20" t="s">
        <v>5</v>
      </c>
      <c r="K19" s="15"/>
    </row>
    <row r="20">
      <c r="B20" s="7" t="s">
        <v>10</v>
      </c>
      <c r="C20" s="8" t="s">
        <v>27</v>
      </c>
      <c r="D20" s="9">
        <v>5000</v>
      </c>
      <c r="F20" s="7" t="s">
        <v>75</v>
      </c>
      <c r="G20" s="8" t="s">
        <v>29</v>
      </c>
      <c r="H20" s="9">
        <v>15000</v>
      </c>
    </row>
    <row r="21">
      <c r="B21" s="7" t="s">
        <v>10</v>
      </c>
      <c r="C21" s="8" t="s">
        <v>32</v>
      </c>
      <c r="D21" s="9">
        <v>5500</v>
      </c>
      <c r="F21" s="7" t="s">
        <v>76</v>
      </c>
      <c r="G21" s="8" t="s">
        <v>29</v>
      </c>
      <c r="H21" s="9">
        <v>30000</v>
      </c>
      <c r="K21" s="15"/>
    </row>
    <row r="22">
      <c r="B22" s="7" t="s">
        <v>10</v>
      </c>
      <c r="C22" s="8" t="s">
        <v>34</v>
      </c>
      <c r="D22" s="9">
        <v>6000</v>
      </c>
      <c r="F22" s="7"/>
      <c r="G22" s="8"/>
      <c r="H22" s="9"/>
    </row>
    <row r="23">
      <c r="B23" s="7" t="s">
        <v>10</v>
      </c>
      <c r="C23" s="8" t="s">
        <v>36</v>
      </c>
      <c r="D23" s="9">
        <v>6500</v>
      </c>
      <c r="K23" s="15"/>
    </row>
    <row r="24">
      <c r="B24" s="7" t="s">
        <v>10</v>
      </c>
      <c r="C24" s="8" t="s">
        <v>38</v>
      </c>
      <c r="D24" s="9">
        <v>7000</v>
      </c>
      <c r="K24" s="15"/>
    </row>
    <row r="25">
      <c r="B25" s="7" t="s">
        <v>10</v>
      </c>
      <c r="C25" s="8" t="s">
        <v>40</v>
      </c>
      <c r="D25" s="9">
        <v>7500</v>
      </c>
      <c r="F25" s="16" t="s">
        <v>41</v>
      </c>
      <c r="G25" s="16"/>
      <c r="K25" s="15"/>
    </row>
    <row r="26">
      <c r="B26" s="7" t="s">
        <v>10</v>
      </c>
      <c r="C26" s="8" t="s">
        <v>43</v>
      </c>
      <c r="D26" s="9">
        <v>8000</v>
      </c>
      <c r="F26" s="8" t="s">
        <v>44</v>
      </c>
      <c r="G26" s="9">
        <v>5000</v>
      </c>
      <c r="K26" s="15"/>
    </row>
    <row r="27">
      <c r="B27" s="21"/>
      <c r="C27" s="22"/>
      <c r="D27" s="23"/>
      <c r="F27" s="8" t="s">
        <v>44</v>
      </c>
      <c r="G27" s="9">
        <v>10000</v>
      </c>
    </row>
    <row r="28">
      <c r="B28" s="7" t="s">
        <v>46</v>
      </c>
      <c r="C28" s="8" t="s">
        <v>27</v>
      </c>
      <c r="D28" s="9">
        <v>8000</v>
      </c>
    </row>
    <row r="29">
      <c r="B29" s="7" t="s">
        <v>46</v>
      </c>
      <c r="C29" s="8" t="s">
        <v>32</v>
      </c>
      <c r="D29" s="9">
        <v>8500</v>
      </c>
    </row>
    <row r="30" ht="16.5">
      <c r="B30" s="7" t="s">
        <v>46</v>
      </c>
      <c r="C30" s="8" t="s">
        <v>34</v>
      </c>
      <c r="D30" s="9">
        <v>9000</v>
      </c>
      <c r="F30" s="24" t="s">
        <v>47</v>
      </c>
      <c r="G30" s="24" t="s">
        <v>48</v>
      </c>
      <c r="H30" s="25" t="s">
        <v>49</v>
      </c>
      <c r="I30" s="25"/>
      <c r="J30" s="25"/>
    </row>
    <row r="31">
      <c r="B31" s="7" t="s">
        <v>46</v>
      </c>
      <c r="C31" s="8" t="s">
        <v>36</v>
      </c>
      <c r="D31" s="9">
        <v>9500</v>
      </c>
      <c r="F31" s="8">
        <v>300</v>
      </c>
      <c r="G31" s="27" t="s">
        <v>52</v>
      </c>
      <c r="H31" s="27" t="s">
        <v>51</v>
      </c>
      <c r="I31" s="27"/>
      <c r="J31" s="27"/>
    </row>
    <row r="32">
      <c r="B32" s="7" t="s">
        <v>46</v>
      </c>
      <c r="C32" s="8" t="s">
        <v>38</v>
      </c>
      <c r="D32" s="9">
        <v>10000</v>
      </c>
      <c r="F32" s="8">
        <v>500</v>
      </c>
      <c r="G32" s="27" t="s">
        <v>54</v>
      </c>
      <c r="H32" s="27" t="s">
        <v>51</v>
      </c>
      <c r="I32" s="27"/>
      <c r="J32" s="27"/>
    </row>
    <row r="33">
      <c r="B33" s="7" t="s">
        <v>46</v>
      </c>
      <c r="C33" s="8" t="s">
        <v>40</v>
      </c>
      <c r="D33" s="9">
        <v>11000</v>
      </c>
      <c r="F33" s="33" t="s">
        <v>53</v>
      </c>
      <c r="G33" s="27" t="s">
        <v>77</v>
      </c>
      <c r="H33" s="27" t="s">
        <v>51</v>
      </c>
      <c r="I33" s="27"/>
      <c r="J33" s="27"/>
    </row>
    <row r="34">
      <c r="B34" s="7" t="s">
        <v>46</v>
      </c>
      <c r="C34" s="8" t="s">
        <v>43</v>
      </c>
      <c r="D34" s="9">
        <v>12000</v>
      </c>
    </row>
    <row r="37">
      <c r="B37" s="15" t="s">
        <v>55</v>
      </c>
    </row>
    <row r="38">
      <c r="B38" s="8" t="s">
        <v>56</v>
      </c>
      <c r="C38" s="29">
        <v>1000</v>
      </c>
    </row>
    <row r="40">
      <c r="B40" s="15" t="s">
        <v>57</v>
      </c>
    </row>
    <row r="41">
      <c r="B41" s="8" t="s">
        <v>58</v>
      </c>
      <c r="C41" s="29">
        <v>3000</v>
      </c>
    </row>
    <row r="43">
      <c r="B43" s="15" t="s">
        <v>59</v>
      </c>
    </row>
    <row r="44">
      <c r="B44" s="30" t="s">
        <v>24</v>
      </c>
      <c r="C44" s="30" t="s">
        <v>60</v>
      </c>
      <c r="D44" s="30" t="s">
        <v>61</v>
      </c>
    </row>
    <row r="45">
      <c r="B45" s="27" t="s">
        <v>62</v>
      </c>
      <c r="C45" s="31">
        <v>500</v>
      </c>
      <c r="D45" s="32">
        <v>600</v>
      </c>
    </row>
    <row r="46">
      <c r="B46" s="27" t="s">
        <v>63</v>
      </c>
      <c r="C46" s="31">
        <v>550</v>
      </c>
      <c r="D46" s="32">
        <v>650</v>
      </c>
    </row>
    <row r="47">
      <c r="B47" s="27" t="s">
        <v>64</v>
      </c>
      <c r="C47" s="31">
        <v>600</v>
      </c>
      <c r="D47" s="32">
        <v>700</v>
      </c>
    </row>
    <row r="48">
      <c r="B48" s="27" t="s">
        <v>65</v>
      </c>
      <c r="C48" s="31">
        <v>650</v>
      </c>
      <c r="D48" s="32">
        <v>750</v>
      </c>
    </row>
    <row r="49">
      <c r="B49" s="27" t="s">
        <v>66</v>
      </c>
      <c r="C49" s="31">
        <v>700</v>
      </c>
      <c r="D49" s="32">
        <v>800</v>
      </c>
    </row>
    <row r="50">
      <c r="B50" s="27" t="s">
        <v>67</v>
      </c>
      <c r="C50" s="31">
        <v>750</v>
      </c>
      <c r="D50" s="32">
        <v>850</v>
      </c>
    </row>
    <row r="51">
      <c r="B51" s="27" t="s">
        <v>68</v>
      </c>
      <c r="C51" s="31">
        <v>800</v>
      </c>
      <c r="D51" s="32">
        <v>950</v>
      </c>
    </row>
    <row r="52">
      <c r="B52" s="27" t="s">
        <v>69</v>
      </c>
      <c r="C52" s="31">
        <v>850</v>
      </c>
      <c r="D52" s="32">
        <v>1150</v>
      </c>
    </row>
    <row r="53">
      <c r="B53" s="27" t="s">
        <v>70</v>
      </c>
      <c r="C53" s="31">
        <v>900</v>
      </c>
      <c r="D53" s="32">
        <v>1250</v>
      </c>
    </row>
    <row r="54">
      <c r="B54" s="27" t="s">
        <v>71</v>
      </c>
      <c r="C54" s="31">
        <v>950</v>
      </c>
      <c r="D54" s="32">
        <v>1350</v>
      </c>
    </row>
    <row r="55">
      <c r="B55" s="27" t="s">
        <v>72</v>
      </c>
      <c r="C55" s="31">
        <v>1000</v>
      </c>
      <c r="D55" s="32">
        <v>1550</v>
      </c>
    </row>
    <row r="56">
      <c r="B56" s="27" t="s">
        <v>73</v>
      </c>
      <c r="C56" s="31">
        <v>1050</v>
      </c>
      <c r="D56" s="32">
        <v>1750</v>
      </c>
    </row>
    <row r="57">
      <c r="B57" s="27" t="s">
        <v>74</v>
      </c>
      <c r="C57" s="31">
        <v>1100</v>
      </c>
      <c r="D57" s="32">
        <v>1950</v>
      </c>
    </row>
  </sheetData>
  <mergeCells count="15">
    <mergeCell ref="B2:M4"/>
    <mergeCell ref="B7:D7"/>
    <mergeCell ref="F7:H7"/>
    <mergeCell ref="K8:M8"/>
    <mergeCell ref="K12:L12"/>
    <mergeCell ref="K13:L13"/>
    <mergeCell ref="K14:L14"/>
    <mergeCell ref="B18:D18"/>
    <mergeCell ref="F18:H18"/>
    <mergeCell ref="F25:G25"/>
    <mergeCell ref="B27:D27"/>
    <mergeCell ref="H30:J30"/>
    <mergeCell ref="H31:J31"/>
    <mergeCell ref="H32:J32"/>
    <mergeCell ref="H33:J3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revision>2</cp:revision>
  <dcterms:created xsi:type="dcterms:W3CDTF">2026-09-02T04:25:06Z</dcterms:created>
  <dcterms:modified xsi:type="dcterms:W3CDTF">2026-10-10T14:12:04Z</dcterms:modified>
</cp:coreProperties>
</file>